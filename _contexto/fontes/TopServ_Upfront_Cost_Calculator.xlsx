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Calculator" sheetId="2" r:id="rId5"/>
  </sheets>
  <definedNames/>
  <calcPr/>
  <extLst>
    <ext uri="GoogleSheetsCustomDataVersion2">
      <go:sheetsCustomData xmlns:go="http://customooxmlschemas.google.com/" r:id="rId6" roundtripDataChecksum="SDnSIqNhOLq3LCeKtRzr6uqacTvKfHdkj1UO8D7XQkA="/>
    </ext>
  </extLst>
</workbook>
</file>

<file path=xl/sharedStrings.xml><?xml version="1.0" encoding="utf-8"?>
<sst xmlns="http://schemas.openxmlformats.org/spreadsheetml/2006/main" count="59" uniqueCount="58">
  <si>
    <t>Item</t>
  </si>
  <si>
    <t>Key</t>
  </si>
  <si>
    <t>Value</t>
  </si>
  <si>
    <t>Notes</t>
  </si>
  <si>
    <t>Default Onboarding % of Monthly Program Fee</t>
  </si>
  <si>
    <t>onboarding_pct</t>
  </si>
  <si>
    <t>50% by default</t>
  </si>
  <si>
    <t>Programs (Monthly Fee) — EDIT values as needed</t>
  </si>
  <si>
    <t>Builder Monthly Fee</t>
  </si>
  <si>
    <t>Builder</t>
  </si>
  <si>
    <t>Accelerator Monthly Fee</t>
  </si>
  <si>
    <t>accelerator_monthly</t>
  </si>
  <si>
    <t>Dominator Monthly Fee</t>
  </si>
  <si>
    <t>dominator_monthly</t>
  </si>
  <si>
    <t>Enterprise Monthly Fee</t>
  </si>
  <si>
    <t>enterprise_monthly</t>
  </si>
  <si>
    <t>Enter custom monthly fee on Calculator if selecting Enterprise</t>
  </si>
  <si>
    <t>Influencer Weekly Price</t>
  </si>
  <si>
    <t>influencer_weekly</t>
  </si>
  <si>
    <t>If you offer Influencer Weekly, put the weekly fee here (e.g., 1000)</t>
  </si>
  <si>
    <t>Video Shoot: Paid-in-Full Price</t>
  </si>
  <si>
    <t>video_pif</t>
  </si>
  <si>
    <t>Total if client pays in full (e.g., 15500)</t>
  </si>
  <si>
    <t>Video Shoot: Split Plan Down Payment</t>
  </si>
  <si>
    <t>video_split_down</t>
  </si>
  <si>
    <t>Down payment today</t>
  </si>
  <si>
    <t>Video Shoot: Split Plan Remaining</t>
  </si>
  <si>
    <t>video_split_remaining</t>
  </si>
  <si>
    <t>Spread over 20 weeks ($400/week)</t>
  </si>
  <si>
    <t>Video Shoot: Finance Down Payment</t>
  </si>
  <si>
    <t>video_finance_down</t>
  </si>
  <si>
    <t>Editable; $0 default</t>
  </si>
  <si>
    <t>Video Shoot: Finance Origination/Fees</t>
  </si>
  <si>
    <t>video_finance_fees</t>
  </si>
  <si>
    <t>TopServ Upfront Cost Calculator</t>
  </si>
  <si>
    <t>Client Name</t>
  </si>
  <si>
    <t>Enter or select values in the yellow cells.</t>
  </si>
  <si>
    <t>Helper (do not edit)</t>
  </si>
  <si>
    <t>Program Selection</t>
  </si>
  <si>
    <t>Onboarding %</t>
  </si>
  <si>
    <t>If Enterprise: Enter Monthly Fee</t>
  </si>
  <si>
    <t>Builder Monthly</t>
  </si>
  <si>
    <t>Include Influencer Weekly?</t>
  </si>
  <si>
    <t>Accelerator Monthly</t>
  </si>
  <si>
    <t>Charge First Week of Influencer Weekly Today?</t>
  </si>
  <si>
    <t>Dominator Monthly</t>
  </si>
  <si>
    <t>Video Shoot Payment Option</t>
  </si>
  <si>
    <t>Enterprise Monthly</t>
  </si>
  <si>
    <t>Influencer Weekly</t>
  </si>
  <si>
    <t>Onboarding Fee (due today)</t>
  </si>
  <si>
    <t>Video PIF</t>
  </si>
  <si>
    <t>Influencer Weekly — Due Today</t>
  </si>
  <si>
    <t>Video Split Down</t>
  </si>
  <si>
    <t>Video Shoot — Due Today</t>
  </si>
  <si>
    <t>Video Split Remaining</t>
  </si>
  <si>
    <t>Video Finance Down</t>
  </si>
  <si>
    <t>TOTAL DUE TODAY</t>
  </si>
  <si>
    <t>Video Finance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</si>
</sst>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  <scheme val="minor"/>
    </font>
    <font>
      <i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CE5"/>
        <bgColor rgb="FFFFFCE5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Font="1"/>
    <xf borderId="2" fillId="0" fontId="1" numFmtId="0" xfId="0" applyBorder="1" applyFont="1"/>
    <xf borderId="2" fillId="0" fontId="3" numFmtId="164" xfId="0" applyBorder="1" applyFont="1" applyNumberFormat="1"/>
    <xf borderId="2" fillId="0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6.0"/>
    <col customWidth="1" min="3" max="3" width="18.0"/>
    <col customWidth="1" min="4" max="4" width="6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0.5</v>
      </c>
      <c r="D2" s="2" t="s">
        <v>6</v>
      </c>
    </row>
    <row r="3">
      <c r="A3" s="2" t="s">
        <v>7</v>
      </c>
      <c r="C3" s="3"/>
    </row>
    <row r="4">
      <c r="A4" s="2" t="s">
        <v>8</v>
      </c>
      <c r="B4" s="4" t="s">
        <v>9</v>
      </c>
      <c r="C4" s="3">
        <v>4000.0</v>
      </c>
    </row>
    <row r="5">
      <c r="A5" s="2" t="s">
        <v>10</v>
      </c>
      <c r="B5" s="2" t="s">
        <v>11</v>
      </c>
      <c r="C5" s="3">
        <v>7000.0</v>
      </c>
    </row>
    <row r="6">
      <c r="A6" s="2" t="s">
        <v>12</v>
      </c>
      <c r="B6" s="2" t="s">
        <v>13</v>
      </c>
      <c r="C6" s="3">
        <v>9000.0</v>
      </c>
    </row>
    <row r="7">
      <c r="A7" s="2" t="s">
        <v>14</v>
      </c>
      <c r="B7" s="2" t="s">
        <v>15</v>
      </c>
      <c r="C7" s="3"/>
      <c r="D7" s="2" t="s">
        <v>16</v>
      </c>
    </row>
    <row r="8">
      <c r="A8" s="2" t="s">
        <v>17</v>
      </c>
      <c r="B8" s="2" t="s">
        <v>18</v>
      </c>
      <c r="C8" s="3"/>
      <c r="D8" s="2" t="s">
        <v>19</v>
      </c>
    </row>
    <row r="9">
      <c r="A9" s="2" t="s">
        <v>20</v>
      </c>
      <c r="B9" s="2" t="s">
        <v>21</v>
      </c>
      <c r="C9" s="3"/>
      <c r="D9" s="2" t="s">
        <v>22</v>
      </c>
    </row>
    <row r="10">
      <c r="A10" s="2" t="s">
        <v>23</v>
      </c>
      <c r="B10" s="2" t="s">
        <v>24</v>
      </c>
      <c r="C10" s="3">
        <v>7500.0</v>
      </c>
      <c r="D10" s="2" t="s">
        <v>25</v>
      </c>
    </row>
    <row r="11">
      <c r="A11" s="2" t="s">
        <v>26</v>
      </c>
      <c r="B11" s="2" t="s">
        <v>27</v>
      </c>
      <c r="C11" s="3">
        <v>8000.0</v>
      </c>
      <c r="D11" s="2" t="s">
        <v>28</v>
      </c>
    </row>
    <row r="12">
      <c r="A12" s="2" t="s">
        <v>29</v>
      </c>
      <c r="B12" s="2" t="s">
        <v>30</v>
      </c>
      <c r="C12" s="3">
        <v>0.0</v>
      </c>
      <c r="D12" s="2" t="s">
        <v>31</v>
      </c>
    </row>
    <row r="13">
      <c r="A13" s="2" t="s">
        <v>32</v>
      </c>
      <c r="B13" s="2" t="s">
        <v>33</v>
      </c>
      <c r="C13" s="3">
        <v>0.0</v>
      </c>
      <c r="D13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Selection - Please select a valid program." sqref="B4">
      <formula1>"Builder,Accelerator,Dominator,Enterprise"</formula1>
    </dataValidation>
    <dataValidation type="list" allowBlank="1" showErrorMessage="1" sqref="B8">
      <formula1>"Paid in Full,Split Plan,Finance"</formula1>
    </dataValidation>
    <dataValidation type="list" allowBlank="1" showErrorMessage="1" sqref="B6:B7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24.0"/>
    <col customWidth="1" min="3" max="3" width="42.0"/>
    <col customWidth="1" min="4" max="4" width="28.0"/>
    <col customWidth="1" min="5" max="26" width="8.71"/>
  </cols>
  <sheetData>
    <row r="1">
      <c r="A1" s="5" t="s">
        <v>34</v>
      </c>
    </row>
    <row r="3">
      <c r="A3" s="1" t="s">
        <v>35</v>
      </c>
      <c r="B3" s="3"/>
      <c r="C3" s="6" t="s">
        <v>36</v>
      </c>
      <c r="D3" s="2" t="s">
        <v>37</v>
      </c>
    </row>
    <row r="4">
      <c r="A4" s="1" t="s">
        <v>38</v>
      </c>
      <c r="B4" s="3"/>
      <c r="C4" s="2" t="s">
        <v>39</v>
      </c>
      <c r="D4" s="2">
        <f>Settings!C2</f>
        <v>0.5</v>
      </c>
    </row>
    <row r="5">
      <c r="A5" s="1" t="s">
        <v>40</v>
      </c>
      <c r="B5" s="3"/>
      <c r="C5" s="2" t="s">
        <v>41</v>
      </c>
      <c r="D5" s="2">
        <f>Settings!C4</f>
        <v>4000</v>
      </c>
    </row>
    <row r="6">
      <c r="A6" s="1" t="s">
        <v>42</v>
      </c>
      <c r="B6" s="3"/>
      <c r="C6" s="2" t="s">
        <v>43</v>
      </c>
      <c r="D6" s="2">
        <f>Settings!C5</f>
        <v>7000</v>
      </c>
    </row>
    <row r="7">
      <c r="A7" s="1" t="s">
        <v>44</v>
      </c>
      <c r="B7" s="3"/>
      <c r="C7" s="2" t="s">
        <v>45</v>
      </c>
      <c r="D7" s="2">
        <f>Settings!C6</f>
        <v>9000</v>
      </c>
    </row>
    <row r="8">
      <c r="A8" s="1" t="s">
        <v>46</v>
      </c>
      <c r="B8" s="3"/>
      <c r="C8" s="2" t="s">
        <v>47</v>
      </c>
      <c r="D8" s="2" t="str">
        <f>IF(B4&lt;&gt;"Enterprise",NA(),B5)</f>
        <v>#N/A</v>
      </c>
    </row>
    <row r="9">
      <c r="C9" s="2" t="s">
        <v>48</v>
      </c>
      <c r="D9" s="2" t="str">
        <f>Settings!C8</f>
        <v/>
      </c>
    </row>
    <row r="10">
      <c r="A10" s="7" t="s">
        <v>49</v>
      </c>
      <c r="B10" s="8">
        <f>(IF(B4="Builder", D5,IF(B4="Accelerator", D6,IF(B4="Dominator", D7,IF(B4="Enterprise", D8, 0)))))*D4</f>
        <v>0</v>
      </c>
      <c r="C10" s="2" t="s">
        <v>50</v>
      </c>
      <c r="D10" s="2" t="str">
        <f>Settings!C9</f>
        <v/>
      </c>
    </row>
    <row r="11">
      <c r="A11" s="7" t="s">
        <v>51</v>
      </c>
      <c r="B11" s="8">
        <f>IF(AND(B6="Yes",B7="Yes"), D9, 0)</f>
        <v>0</v>
      </c>
      <c r="C11" s="2" t="s">
        <v>52</v>
      </c>
      <c r="D11" s="2">
        <f>Settings!C10</f>
        <v>7500</v>
      </c>
    </row>
    <row r="12">
      <c r="A12" s="7" t="s">
        <v>53</v>
      </c>
      <c r="B12" s="8">
        <f>IF(B8="Paid in Full", D10,IF(B8="Split Plan", D11,IF(B8="Finance", D13 + D14, 0)))</f>
        <v>0</v>
      </c>
      <c r="C12" s="2" t="s">
        <v>54</v>
      </c>
      <c r="D12" s="2">
        <f>Settings!C11</f>
        <v>8000</v>
      </c>
    </row>
    <row r="13">
      <c r="C13" s="2" t="s">
        <v>55</v>
      </c>
      <c r="D13" s="2">
        <f>Settings!C12</f>
        <v>0</v>
      </c>
    </row>
    <row r="14">
      <c r="A14" s="7" t="s">
        <v>56</v>
      </c>
      <c r="B14" s="9">
        <f>SUM(B10,B11,B12)</f>
        <v>0</v>
      </c>
      <c r="C14" s="2" t="s">
        <v>57</v>
      </c>
      <c r="D14" s="2">
        <f>Settings!C13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2025-10-15T10:40:44Z</dcterms:created>
  <dc:creator>openpyxl</dc:creator>
</cp:coreProperties>
</file>